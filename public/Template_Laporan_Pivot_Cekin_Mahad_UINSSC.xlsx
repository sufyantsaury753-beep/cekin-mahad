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ASTER_CEKIN" sheetId="1" state="visible" r:id="rId1"/>
    <sheet xmlns:r="http://schemas.openxmlformats.org/officeDocument/2006/relationships" name="REKAP_KEHADIRAN" sheetId="2" state="visible" r:id="rId2"/>
    <sheet xmlns:r="http://schemas.openxmlformats.org/officeDocument/2006/relationships" name="BUKU_INDUK_KAMAR" sheetId="3" state="visible" r:id="rId3"/>
    <sheet xmlns:r="http://schemas.openxmlformats.org/officeDocument/2006/relationships" name="STATISTIK_FAKUL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5132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0"/>
    </font>
    <font>
      <name val="Calibri"/>
      <b val="1"/>
      <color rgb="000F5132"/>
      <sz val="18"/>
    </font>
    <font>
      <name val="Calibri"/>
      <b val="1"/>
      <color rgb="000F5132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F8FAF9"/>
        <bgColor rgb="00F8FAF9"/>
      </patternFill>
    </fill>
    <fill>
      <patternFill patternType="solid">
        <fgColor rgb="00E8F5E9"/>
        <bgColor rgb="00E8F5E9"/>
      </patternFill>
    </fill>
    <fill>
      <patternFill patternType="solid">
        <fgColor rgb="00D1E7DD"/>
        <bgColor rgb="00D1E7DD"/>
      </patternFill>
    </fill>
    <fill>
      <patternFill patternType="solid">
        <fgColor rgb="00198754"/>
        <bgColor rgb="00198754"/>
      </patternFill>
    </fill>
  </fills>
  <borders count="3">
    <border>
      <left/>
      <right/>
      <top/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  <border>
      <left style="thin">
        <color rgb="00CED4DA"/>
      </left>
      <right style="thin">
        <color rgb="00CED4DA"/>
      </right>
      <top style="thin">
        <color rgb="00CED4DA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3" customWidth="1" min="2" max="2"/>
    <col width="27" customWidth="1" min="3" max="3"/>
    <col width="20" customWidth="1" min="4" max="4"/>
    <col width="24" customWidth="1" min="5" max="5"/>
    <col width="12" customWidth="1" min="6" max="6"/>
    <col width="29" customWidth="1" min="7" max="7"/>
    <col width="16" customWidth="1" min="8" max="8"/>
    <col width="12" customWidth="1" min="9" max="9"/>
    <col width="14" customWidth="1" min="10" max="10"/>
    <col width="12" customWidth="1" min="11" max="11"/>
    <col width="27" customWidth="1" min="12" max="12"/>
    <col width="22" customWidth="1" min="13" max="13"/>
    <col width="21" customWidth="1" min="14" max="14"/>
    <col width="24" customWidth="1" min="15" max="15"/>
  </cols>
  <sheetData>
    <row r="1">
      <c r="A1" s="1" t="inlineStr">
        <is>
          <t>DATA MASTER REGISTRASI &amp; PENEMPATAN KAMAR MA'HAD AL-JAMI'AH UINSSC</t>
        </is>
      </c>
    </row>
    <row r="2">
      <c r="A2" s="2" t="inlineStr">
        <is>
          <t>Sumber data ekspor resmi sistem E-CheckIn Ma'had Al-Jami'ah UIN Siber Syekh Nurjati Cirebon</t>
        </is>
      </c>
    </row>
    <row r="3"/>
    <row r="4">
      <c r="A4" s="3" t="inlineStr">
        <is>
          <t>No</t>
        </is>
      </c>
      <c r="B4" s="3" t="inlineStr">
        <is>
          <t>NIM / NISN</t>
        </is>
      </c>
      <c r="C4" s="3" t="inlineStr">
        <is>
          <t>Nama Lengkap Mahasantri</t>
        </is>
      </c>
      <c r="D4" s="3" t="inlineStr">
        <is>
          <t>Jenis Kelamin</t>
        </is>
      </c>
      <c r="E4" s="3" t="inlineStr">
        <is>
          <t>Jalur Pendaftaran</t>
        </is>
      </c>
      <c r="F4" s="3" t="inlineStr">
        <is>
          <t>Fakultas</t>
        </is>
      </c>
      <c r="G4" s="3" t="inlineStr">
        <is>
          <t>Jurusan / Prodi</t>
        </is>
      </c>
      <c r="H4" s="3" t="inlineStr">
        <is>
          <t>Gedung Asrama</t>
        </is>
      </c>
      <c r="I4" s="3" t="inlineStr">
        <is>
          <t>Lantai</t>
        </is>
      </c>
      <c r="J4" s="3" t="inlineStr">
        <is>
          <t>Nomor Kamar</t>
        </is>
      </c>
      <c r="K4" s="3" t="inlineStr">
        <is>
          <t>Nomor Bed</t>
        </is>
      </c>
      <c r="L4" s="3" t="inlineStr">
        <is>
          <t>Status Kehadiran</t>
        </is>
      </c>
      <c r="M4" s="3" t="inlineStr">
        <is>
          <t>Waktu Check-In</t>
        </is>
      </c>
      <c r="N4" s="3" t="inlineStr">
        <is>
          <t>Petugas Verifikasi</t>
        </is>
      </c>
      <c r="O4" s="3" t="inlineStr">
        <is>
          <t>Catatan Barang Bawaan</t>
        </is>
      </c>
    </row>
    <row r="5">
      <c r="A5" s="4" t="n">
        <v>1</v>
      </c>
      <c r="B5" s="5" t="inlineStr">
        <is>
          <t>2530104044</t>
        </is>
      </c>
      <c r="C5" s="6" t="inlineStr">
        <is>
          <t>Muhammad Indera Wiguna</t>
        </is>
      </c>
      <c r="D5" s="4" t="inlineStr">
        <is>
          <t>Laki-laki (Putra)</t>
        </is>
      </c>
      <c r="E5" s="6" t="inlineStr">
        <is>
          <t>Perpanjangan</t>
        </is>
      </c>
      <c r="F5" s="6" t="inlineStr">
        <is>
          <t>FITK</t>
        </is>
      </c>
      <c r="G5" s="6" t="inlineStr">
        <is>
          <t>T. IPS</t>
        </is>
      </c>
      <c r="H5" s="6" t="inlineStr">
        <is>
          <t>Ma'had Jadid</t>
        </is>
      </c>
      <c r="I5" s="4" t="n">
        <v>5</v>
      </c>
      <c r="J5" s="4" t="n">
        <v>513</v>
      </c>
      <c r="K5" s="4" t="n">
        <v>1</v>
      </c>
      <c r="L5" s="6" t="inlineStr">
        <is>
          <t>Sudah Check-In (Hadir)</t>
        </is>
      </c>
      <c r="M5" s="5" t="inlineStr">
        <is>
          <t>29/08/2026 07:48:38</t>
        </is>
      </c>
      <c r="N5" s="6" t="inlineStr">
        <is>
          <t>Raihan</t>
        </is>
      </c>
      <c r="O5" s="6" t="inlineStr">
        <is>
          <t>Koper 1, Tas Ransel 1</t>
        </is>
      </c>
    </row>
    <row r="6">
      <c r="A6" s="7" t="n">
        <v>2</v>
      </c>
      <c r="B6" s="8" t="inlineStr">
        <is>
          <t>2530311086</t>
        </is>
      </c>
      <c r="C6" s="9" t="inlineStr">
        <is>
          <t>SUFYAN TSAURY</t>
        </is>
      </c>
      <c r="D6" s="7" t="inlineStr">
        <is>
          <t>Laki-laki (Putra)</t>
        </is>
      </c>
      <c r="E6" s="9" t="inlineStr">
        <is>
          <t>Perpanjangan</t>
        </is>
      </c>
      <c r="F6" s="9" t="inlineStr">
        <is>
          <t>FASYA</t>
        </is>
      </c>
      <c r="G6" s="9" t="inlineStr">
        <is>
          <t>HUKUM KELUARGA ISLAM</t>
        </is>
      </c>
      <c r="H6" s="9" t="inlineStr">
        <is>
          <t>Ma'had Jadid</t>
        </is>
      </c>
      <c r="I6" s="7" t="n">
        <v>5</v>
      </c>
      <c r="J6" s="7" t="n">
        <v>513</v>
      </c>
      <c r="K6" s="7" t="n">
        <v>3</v>
      </c>
      <c r="L6" s="9" t="inlineStr">
        <is>
          <t>Belum Check-In (Booking)</t>
        </is>
      </c>
      <c r="M6" s="8" t="inlineStr">
        <is>
          <t>-</t>
        </is>
      </c>
      <c r="N6" s="9" t="inlineStr">
        <is>
          <t>-</t>
        </is>
      </c>
      <c r="O6" s="9" t="inlineStr">
        <is>
          <t>-</t>
        </is>
      </c>
    </row>
    <row r="7">
      <c r="A7" s="4" t="n">
        <v>3</v>
      </c>
      <c r="B7" s="5" t="inlineStr">
        <is>
          <t>0067999651</t>
        </is>
      </c>
      <c r="C7" s="6" t="inlineStr">
        <is>
          <t>Abdullah Al Mu'izi Mafas</t>
        </is>
      </c>
      <c r="D7" s="4" t="inlineStr">
        <is>
          <t>Laki-laki (Putra)</t>
        </is>
      </c>
      <c r="E7" s="6" t="inlineStr">
        <is>
          <t>Calon Mahasantri Baru</t>
        </is>
      </c>
      <c r="F7" s="6" t="inlineStr">
        <is>
          <t>FITK</t>
        </is>
      </c>
      <c r="G7" s="6" t="inlineStr">
        <is>
          <t>Pendidikan Agama Islam</t>
        </is>
      </c>
      <c r="H7" s="6" t="inlineStr">
        <is>
          <t>Ma'had Jadid</t>
        </is>
      </c>
      <c r="I7" s="4" t="n">
        <v>5</v>
      </c>
      <c r="J7" s="4" t="n">
        <v>513</v>
      </c>
      <c r="K7" s="4" t="n">
        <v>2</v>
      </c>
      <c r="L7" s="6" t="inlineStr">
        <is>
          <t>Sudah Check-In (Hadir)</t>
        </is>
      </c>
      <c r="M7" s="5" t="inlineStr">
        <is>
          <t>29/08/2026 08:15:10</t>
        </is>
      </c>
      <c r="N7" s="6" t="inlineStr">
        <is>
          <t>Raihan</t>
        </is>
      </c>
      <c r="O7" s="6" t="inlineStr">
        <is>
          <t>Koper 1, Galon 1</t>
        </is>
      </c>
    </row>
    <row r="8">
      <c r="A8" s="7" t="n">
        <v>4</v>
      </c>
      <c r="B8" s="8" t="inlineStr">
        <is>
          <t>2530201015</t>
        </is>
      </c>
      <c r="C8" s="9" t="inlineStr">
        <is>
          <t>Ahmad Fauzi</t>
        </is>
      </c>
      <c r="D8" s="7" t="inlineStr">
        <is>
          <t>Laki-laki (Putra)</t>
        </is>
      </c>
      <c r="E8" s="9" t="inlineStr">
        <is>
          <t>Calon Mahasantri Baru</t>
        </is>
      </c>
      <c r="F8" s="9" t="inlineStr">
        <is>
          <t>FEBI</t>
        </is>
      </c>
      <c r="G8" s="9" t="inlineStr">
        <is>
          <t>Perbankan Syariah</t>
        </is>
      </c>
      <c r="H8" s="9" t="inlineStr">
        <is>
          <t>Ma'had Jadid</t>
        </is>
      </c>
      <c r="I8" s="7" t="n">
        <v>2</v>
      </c>
      <c r="J8" s="7" t="n">
        <v>201</v>
      </c>
      <c r="K8" s="7" t="n">
        <v>1</v>
      </c>
      <c r="L8" s="9" t="inlineStr">
        <is>
          <t>Sudah Check-In (Hadir)</t>
        </is>
      </c>
      <c r="M8" s="8" t="inlineStr">
        <is>
          <t>29/08/2026 08:30:00</t>
        </is>
      </c>
      <c r="N8" s="9" t="inlineStr">
        <is>
          <t>Ust. Hasan</t>
        </is>
      </c>
      <c r="O8" s="9" t="inlineStr">
        <is>
          <t>Koper 1</t>
        </is>
      </c>
    </row>
    <row r="9">
      <c r="A9" s="4" t="n">
        <v>5</v>
      </c>
      <c r="B9" s="5" t="inlineStr">
        <is>
          <t>2530201016</t>
        </is>
      </c>
      <c r="C9" s="6" t="inlineStr">
        <is>
          <t>Budi Santoso</t>
        </is>
      </c>
      <c r="D9" s="4" t="inlineStr">
        <is>
          <t>Laki-laki (Putra)</t>
        </is>
      </c>
      <c r="E9" s="6" t="inlineStr">
        <is>
          <t>Calon Mahasantri Baru</t>
        </is>
      </c>
      <c r="F9" s="6" t="inlineStr">
        <is>
          <t>FUSA</t>
        </is>
      </c>
      <c r="G9" s="6" t="inlineStr">
        <is>
          <t>Ilmu Al-Qur'an dan Tafsir</t>
        </is>
      </c>
      <c r="H9" s="6" t="inlineStr">
        <is>
          <t>Ma'had Jadid</t>
        </is>
      </c>
      <c r="I9" s="4" t="n">
        <v>2</v>
      </c>
      <c r="J9" s="4" t="n">
        <v>201</v>
      </c>
      <c r="K9" s="4" t="n">
        <v>2</v>
      </c>
      <c r="L9" s="6" t="inlineStr">
        <is>
          <t>Belum Check-In (Booking)</t>
        </is>
      </c>
      <c r="M9" s="5" t="inlineStr">
        <is>
          <t>-</t>
        </is>
      </c>
      <c r="N9" s="6" t="inlineStr">
        <is>
          <t>-</t>
        </is>
      </c>
      <c r="O9" s="6" t="inlineStr">
        <is>
          <t>-</t>
        </is>
      </c>
    </row>
    <row r="10">
      <c r="A10" s="7" t="n">
        <v>6</v>
      </c>
      <c r="B10" s="8" t="inlineStr">
        <is>
          <t>2530302010</t>
        </is>
      </c>
      <c r="C10" s="9" t="inlineStr">
        <is>
          <t>Fatimah Az-Zahra</t>
        </is>
      </c>
      <c r="D10" s="7" t="inlineStr">
        <is>
          <t>Perempuan (Putri)</t>
        </is>
      </c>
      <c r="E10" s="9" t="inlineStr">
        <is>
          <t>Calon Mahasantri Baru</t>
        </is>
      </c>
      <c r="F10" s="9" t="inlineStr">
        <is>
          <t>FITK</t>
        </is>
      </c>
      <c r="G10" s="9" t="inlineStr">
        <is>
          <t>Pendidikan Bahasa Arab</t>
        </is>
      </c>
      <c r="H10" s="9" t="inlineStr">
        <is>
          <t>Ma'had Qodim</t>
        </is>
      </c>
      <c r="I10" s="7" t="n">
        <v>2</v>
      </c>
      <c r="J10" s="7" t="n">
        <v>201</v>
      </c>
      <c r="K10" s="7" t="n">
        <v>1</v>
      </c>
      <c r="L10" s="9" t="inlineStr">
        <is>
          <t>Sudah Check-In (Hadir)</t>
        </is>
      </c>
      <c r="M10" s="8" t="inlineStr">
        <is>
          <t>29/08/2026 09:00:12</t>
        </is>
      </c>
      <c r="N10" s="9" t="inlineStr">
        <is>
          <t>Ustzh. Maryam</t>
        </is>
      </c>
      <c r="O10" s="9" t="inlineStr">
        <is>
          <t>Koper 2, Ember 1</t>
        </is>
      </c>
    </row>
    <row r="11">
      <c r="A11" s="4" t="n">
        <v>7</v>
      </c>
      <c r="B11" s="5" t="inlineStr">
        <is>
          <t>2530302011</t>
        </is>
      </c>
      <c r="C11" s="6" t="inlineStr">
        <is>
          <t>Aisyah Humaira</t>
        </is>
      </c>
      <c r="D11" s="4" t="inlineStr">
        <is>
          <t>Perempuan (Putri)</t>
        </is>
      </c>
      <c r="E11" s="6" t="inlineStr">
        <is>
          <t>Calon Mahasantri Baru</t>
        </is>
      </c>
      <c r="F11" s="6" t="inlineStr">
        <is>
          <t>FASYA</t>
        </is>
      </c>
      <c r="G11" s="6" t="inlineStr">
        <is>
          <t>Hukum Ekonomi Syariah</t>
        </is>
      </c>
      <c r="H11" s="6" t="inlineStr">
        <is>
          <t>Ma'had Qodim</t>
        </is>
      </c>
      <c r="I11" s="4" t="n">
        <v>2</v>
      </c>
      <c r="J11" s="4" t="n">
        <v>201</v>
      </c>
      <c r="K11" s="4" t="n">
        <v>2</v>
      </c>
      <c r="L11" s="6" t="inlineStr">
        <is>
          <t>Sudah Check-In (Hadir)</t>
        </is>
      </c>
      <c r="M11" s="5" t="inlineStr">
        <is>
          <t>29/08/2026 09:15:45</t>
        </is>
      </c>
      <c r="N11" s="6" t="inlineStr">
        <is>
          <t>Ustzh. Maryam</t>
        </is>
      </c>
      <c r="O11" s="6" t="inlineStr">
        <is>
          <t>Koper 1</t>
        </is>
      </c>
    </row>
    <row r="12">
      <c r="A12" s="7" t="n">
        <v>8</v>
      </c>
      <c r="B12" s="8" t="inlineStr">
        <is>
          <t>2530302012</t>
        </is>
      </c>
      <c r="C12" s="9" t="inlineStr">
        <is>
          <t>Zahra Nur Salsabila</t>
        </is>
      </c>
      <c r="D12" s="7" t="inlineStr">
        <is>
          <t>Perempuan (Putri)</t>
        </is>
      </c>
      <c r="E12" s="9" t="inlineStr">
        <is>
          <t>Perpanjangan</t>
        </is>
      </c>
      <c r="F12" s="9" t="inlineStr">
        <is>
          <t>FDK</t>
        </is>
      </c>
      <c r="G12" s="9" t="inlineStr">
        <is>
          <t>Komunikasi Penyiaran Islam</t>
        </is>
      </c>
      <c r="H12" s="9" t="inlineStr">
        <is>
          <t>Ma'had Qodim</t>
        </is>
      </c>
      <c r="I12" s="7" t="n">
        <v>3</v>
      </c>
      <c r="J12" s="7" t="n">
        <v>305</v>
      </c>
      <c r="K12" s="7" t="n">
        <v>1</v>
      </c>
      <c r="L12" s="9" t="inlineStr">
        <is>
          <t>Belum Check-In (Booking)</t>
        </is>
      </c>
      <c r="M12" s="8" t="inlineStr">
        <is>
          <t>-</t>
        </is>
      </c>
      <c r="N12" s="9" t="inlineStr">
        <is>
          <t>-</t>
        </is>
      </c>
      <c r="O12" s="9" t="inlineStr">
        <is>
          <t>-</t>
        </is>
      </c>
    </row>
    <row r="13">
      <c r="A13" s="4" t="n">
        <v>9</v>
      </c>
      <c r="B13" s="5" t="inlineStr">
        <is>
          <t>2530302013</t>
        </is>
      </c>
      <c r="C13" s="6" t="inlineStr">
        <is>
          <t>Nabila Rahmawati</t>
        </is>
      </c>
      <c r="D13" s="4" t="inlineStr">
        <is>
          <t>Perempuan (Putri)</t>
        </is>
      </c>
      <c r="E13" s="6" t="inlineStr">
        <is>
          <t>Calon Mahasantri Baru</t>
        </is>
      </c>
      <c r="F13" s="6" t="inlineStr">
        <is>
          <t>FITK</t>
        </is>
      </c>
      <c r="G13" s="6" t="inlineStr">
        <is>
          <t>Tadris Matematika</t>
        </is>
      </c>
      <c r="H13" s="6" t="inlineStr">
        <is>
          <t>Ma'had Qodim</t>
        </is>
      </c>
      <c r="I13" s="4" t="n">
        <v>3</v>
      </c>
      <c r="J13" s="4" t="n">
        <v>305</v>
      </c>
      <c r="K13" s="4" t="n">
        <v>2</v>
      </c>
      <c r="L13" s="6" t="inlineStr">
        <is>
          <t>Sudah Check-In (Hadir)</t>
        </is>
      </c>
      <c r="M13" s="5" t="inlineStr">
        <is>
          <t>29/08/2026 10:00:00</t>
        </is>
      </c>
      <c r="N13" s="6" t="inlineStr">
        <is>
          <t>Ustzh. Siti</t>
        </is>
      </c>
      <c r="O13" s="6" t="inlineStr">
        <is>
          <t>Koper 1</t>
        </is>
      </c>
    </row>
    <row r="14">
      <c r="A14" s="7" t="n">
        <v>10</v>
      </c>
      <c r="B14" s="8" t="inlineStr">
        <is>
          <t>2530401099</t>
        </is>
      </c>
      <c r="C14" s="9" t="inlineStr">
        <is>
          <t>Muhammad Rizky</t>
        </is>
      </c>
      <c r="D14" s="7" t="inlineStr">
        <is>
          <t>Laki-laki (Putra)</t>
        </is>
      </c>
      <c r="E14" s="9" t="inlineStr">
        <is>
          <t>Calon Mahasantri Baru</t>
        </is>
      </c>
      <c r="F14" s="9" t="inlineStr">
        <is>
          <t>FDK</t>
        </is>
      </c>
      <c r="G14" s="9" t="inlineStr">
        <is>
          <t>Bimbingan Konseling Islam</t>
        </is>
      </c>
      <c r="H14" s="9" t="inlineStr">
        <is>
          <t>Ma'had Jadid</t>
        </is>
      </c>
      <c r="I14" s="7" t="n">
        <v>3</v>
      </c>
      <c r="J14" s="7" t="n">
        <v>302</v>
      </c>
      <c r="K14" s="7" t="n">
        <v>1</v>
      </c>
      <c r="L14" s="9" t="inlineStr">
        <is>
          <t>Sudah Check-In (Hadir)</t>
        </is>
      </c>
      <c r="M14" s="8" t="inlineStr">
        <is>
          <t>29/08/2026 10:20:11</t>
        </is>
      </c>
      <c r="N14" s="9" t="inlineStr">
        <is>
          <t>Ust. Ahmad</t>
        </is>
      </c>
      <c r="O14" s="9" t="inlineStr">
        <is>
          <t>Koper 1, Dispenser 1</t>
        </is>
      </c>
    </row>
    <row r="15">
      <c r="A15" s="4" t="n">
        <v>11</v>
      </c>
      <c r="B15" s="5" t="inlineStr">
        <is>
          <t>2530401100</t>
        </is>
      </c>
      <c r="C15" s="6" t="inlineStr">
        <is>
          <t>Farhan Maulana</t>
        </is>
      </c>
      <c r="D15" s="4" t="inlineStr">
        <is>
          <t>Laki-laki (Putra)</t>
        </is>
      </c>
      <c r="E15" s="6" t="inlineStr">
        <is>
          <t>Perpanjangan</t>
        </is>
      </c>
      <c r="F15" s="6" t="inlineStr">
        <is>
          <t>FASYA</t>
        </is>
      </c>
      <c r="G15" s="6" t="inlineStr">
        <is>
          <t>Ilmu Falak</t>
        </is>
      </c>
      <c r="H15" s="6" t="inlineStr">
        <is>
          <t>Ma'had Jadid</t>
        </is>
      </c>
      <c r="I15" s="4" t="n">
        <v>3</v>
      </c>
      <c r="J15" s="4" t="n">
        <v>302</v>
      </c>
      <c r="K15" s="4" t="n">
        <v>2</v>
      </c>
      <c r="L15" s="6" t="inlineStr">
        <is>
          <t>Belum Check-In (Booking)</t>
        </is>
      </c>
      <c r="M15" s="5" t="inlineStr">
        <is>
          <t>-</t>
        </is>
      </c>
      <c r="N15" s="6" t="inlineStr">
        <is>
          <t>-</t>
        </is>
      </c>
      <c r="O15" s="6" t="inlineStr">
        <is>
          <t>-</t>
        </is>
      </c>
    </row>
    <row r="16">
      <c r="A16" s="7" t="n">
        <v>12</v>
      </c>
      <c r="B16" s="8" t="inlineStr">
        <is>
          <t>2530501001</t>
        </is>
      </c>
      <c r="C16" s="9" t="inlineStr">
        <is>
          <t>Khadijah Putri</t>
        </is>
      </c>
      <c r="D16" s="7" t="inlineStr">
        <is>
          <t>Perempuan (Putri)</t>
        </is>
      </c>
      <c r="E16" s="9" t="inlineStr">
        <is>
          <t>Calon Mahasantri Baru</t>
        </is>
      </c>
      <c r="F16" s="9" t="inlineStr">
        <is>
          <t>FEBI</t>
        </is>
      </c>
      <c r="G16" s="9" t="inlineStr">
        <is>
          <t>Akuntansi Syariah</t>
        </is>
      </c>
      <c r="H16" s="9" t="inlineStr">
        <is>
          <t>Ma'had Qodim</t>
        </is>
      </c>
      <c r="I16" s="7" t="n">
        <v>4</v>
      </c>
      <c r="J16" s="7" t="n">
        <v>408</v>
      </c>
      <c r="K16" s="7" t="n">
        <v>1</v>
      </c>
      <c r="L16" s="9" t="inlineStr">
        <is>
          <t>Sudah Check-In (Hadir)</t>
        </is>
      </c>
      <c r="M16" s="8" t="inlineStr">
        <is>
          <t>29/08/2026 11:05:00</t>
        </is>
      </c>
      <c r="N16" s="9" t="inlineStr">
        <is>
          <t>Ustzh. Nur</t>
        </is>
      </c>
      <c r="O16" s="9" t="inlineStr">
        <is>
          <t>Koper 1, Laptop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9" customWidth="1" min="2" max="2"/>
    <col width="38" customWidth="1" min="3" max="3"/>
    <col width="136" customWidth="1" min="4" max="4"/>
    <col width="136" customWidth="1" min="5" max="5"/>
    <col width="50" customWidth="1" min="6" max="6"/>
    <col width="26" customWidth="1" min="7" max="7"/>
    <col width="18" customWidth="1" min="8" max="8"/>
    <col width="50" customWidth="1" min="9" max="9"/>
    <col width="15" customWidth="1" min="10" max="10"/>
    <col width="20" customWidth="1" min="11" max="11"/>
    <col width="15" customWidth="1" min="12" max="12"/>
  </cols>
  <sheetData>
    <row r="1">
      <c r="A1" s="1" t="inlineStr">
        <is>
          <t>DASHBOARD MONITORING &amp; REKAPITULASI KEHADIRAN CHECK-IN</t>
        </is>
      </c>
    </row>
    <row r="2">
      <c r="A2" s="2" t="inlineStr">
        <is>
          <t>Laporan real-time status kehadiran mahasantri per Gedung dan per Lantai</t>
        </is>
      </c>
    </row>
    <row r="3"/>
    <row r="4">
      <c r="B4" s="10" t="inlineStr">
        <is>
          <t>TOTAL TERDAFTAR</t>
        </is>
      </c>
      <c r="E4" s="10" t="inlineStr">
        <is>
          <t>SUDAH CHECK-IN</t>
        </is>
      </c>
      <c r="H4" s="10" t="inlineStr">
        <is>
          <t>BELUM CHECK-IN</t>
        </is>
      </c>
      <c r="K4" s="10" t="inlineStr">
        <is>
          <t>PERSENTASE HADIR</t>
        </is>
      </c>
    </row>
    <row r="5">
      <c r="C5" s="11">
        <f>COUNTA(DATA_MASTER_CEKIN!A5:A100)</f>
        <v/>
      </c>
      <c r="F5" s="11">
        <f>COUNTIF(DATA_MASTER_CEKIN!L5:L100, "*Sudah*")</f>
        <v/>
      </c>
      <c r="I5" s="11">
        <f>COUNTIF(DATA_MASTER_CEKIN!L5:L100, "*Belum*")</f>
        <v/>
      </c>
      <c r="L5" s="12">
        <f>E5/B5</f>
        <v/>
      </c>
    </row>
    <row r="6"/>
    <row r="7">
      <c r="A7" s="13" t="inlineStr">
        <is>
          <t>Tabel Rekapitulasi Status Kehadiran Per Gedung &amp; Lantai</t>
        </is>
      </c>
    </row>
    <row r="8"/>
    <row r="9">
      <c r="A9" s="3" t="inlineStr">
        <is>
          <t>Gedung Asrama</t>
        </is>
      </c>
      <c r="B9" s="3" t="inlineStr">
        <is>
          <t>Lantai</t>
        </is>
      </c>
      <c r="C9" s="3" t="inlineStr">
        <is>
          <t>Target Kapasitas</t>
        </is>
      </c>
      <c r="D9" s="3" t="inlineStr">
        <is>
          <t>Sudah Check-In (Hadir)</t>
        </is>
      </c>
      <c r="E9" s="3" t="inlineStr">
        <is>
          <t>Belum Check-In (Booking)</t>
        </is>
      </c>
      <c r="F9" s="3" t="inlineStr">
        <is>
          <t>Total Terdaftar</t>
        </is>
      </c>
      <c r="G9" s="3" t="inlineStr">
        <is>
          <t>% Kehadiran</t>
        </is>
      </c>
    </row>
    <row r="10">
      <c r="A10" s="6" t="inlineStr">
        <is>
          <t>Ma'had Jadid</t>
        </is>
      </c>
      <c r="B10" s="4" t="inlineStr">
        <is>
          <t>Lantai 2</t>
        </is>
      </c>
      <c r="C10" s="14" t="n">
        <v>40</v>
      </c>
      <c r="D10" s="14">
        <f>COUNTIFS(DATA_MASTER_CEKIN!$H$5:$H$100, "Ma'had Jadid", DATA_MASTER_CEKIN!$I$5:$I$100, 2, DATA_MASTER_CEKIN!$L$5:$L$100, "*Sudah*")</f>
        <v/>
      </c>
      <c r="E10" s="14">
        <f>COUNTIFS(DATA_MASTER_CEKIN!$H$5:$H$100, "Ma'had Jadid", DATA_MASTER_CEKIN!$I$5:$I$100, 2, DATA_MASTER_CEKIN!$L$5:$L$100, "*Belum*")</f>
        <v/>
      </c>
      <c r="F10" s="14">
        <f>D10+E10</f>
        <v/>
      </c>
      <c r="G10" s="15">
        <f>IF(F10&gt;0, D10/F10, 0)</f>
        <v/>
      </c>
    </row>
    <row r="11">
      <c r="A11" s="6" t="inlineStr">
        <is>
          <t>Ma'had Jadid</t>
        </is>
      </c>
      <c r="B11" s="4" t="inlineStr">
        <is>
          <t>Lantai 3</t>
        </is>
      </c>
      <c r="C11" s="14" t="n">
        <v>40</v>
      </c>
      <c r="D11" s="14">
        <f>COUNTIFS(DATA_MASTER_CEKIN!$H$5:$H$100, "Ma'had Jadid", DATA_MASTER_CEKIN!$I$5:$I$100, 3, DATA_MASTER_CEKIN!$L$5:$L$100, "*Sudah*")</f>
        <v/>
      </c>
      <c r="E11" s="14">
        <f>COUNTIFS(DATA_MASTER_CEKIN!$H$5:$H$100, "Ma'had Jadid", DATA_MASTER_CEKIN!$I$5:$I$100, 3, DATA_MASTER_CEKIN!$L$5:$L$100, "*Belum*")</f>
        <v/>
      </c>
      <c r="F11" s="14">
        <f>D11+E11</f>
        <v/>
      </c>
      <c r="G11" s="15">
        <f>IF(F11&gt;0, D11/F11, 0)</f>
        <v/>
      </c>
    </row>
    <row r="12">
      <c r="A12" s="6" t="inlineStr">
        <is>
          <t>Ma'had Jadid</t>
        </is>
      </c>
      <c r="B12" s="4" t="inlineStr">
        <is>
          <t>Lantai 4</t>
        </is>
      </c>
      <c r="C12" s="14" t="n">
        <v>40</v>
      </c>
      <c r="D12" s="14">
        <f>COUNTIFS(DATA_MASTER_CEKIN!$H$5:$H$100, "Ma'had Jadid", DATA_MASTER_CEKIN!$I$5:$I$100, 4, DATA_MASTER_CEKIN!$L$5:$L$100, "*Sudah*")</f>
        <v/>
      </c>
      <c r="E12" s="14">
        <f>COUNTIFS(DATA_MASTER_CEKIN!$H$5:$H$100, "Ma'had Jadid", DATA_MASTER_CEKIN!$I$5:$I$100, 4, DATA_MASTER_CEKIN!$L$5:$L$100, "*Belum*")</f>
        <v/>
      </c>
      <c r="F12" s="14">
        <f>D12+E12</f>
        <v/>
      </c>
      <c r="G12" s="15">
        <f>IF(F12&gt;0, D12/F12, 0)</f>
        <v/>
      </c>
    </row>
    <row r="13">
      <c r="A13" s="6" t="inlineStr">
        <is>
          <t>Ma'had Jadid</t>
        </is>
      </c>
      <c r="B13" s="4" t="inlineStr">
        <is>
          <t>Lantai 5</t>
        </is>
      </c>
      <c r="C13" s="14" t="n">
        <v>40</v>
      </c>
      <c r="D13" s="14">
        <f>COUNTIFS(DATA_MASTER_CEKIN!$H$5:$H$100, "Ma'had Jadid", DATA_MASTER_CEKIN!$I$5:$I$100, 5, DATA_MASTER_CEKIN!$L$5:$L$100, "*Sudah*")</f>
        <v/>
      </c>
      <c r="E13" s="14">
        <f>COUNTIFS(DATA_MASTER_CEKIN!$H$5:$H$100, "Ma'had Jadid", DATA_MASTER_CEKIN!$I$5:$I$100, 5, DATA_MASTER_CEKIN!$L$5:$L$100, "*Belum*")</f>
        <v/>
      </c>
      <c r="F13" s="14">
        <f>D13+E13</f>
        <v/>
      </c>
      <c r="G13" s="15">
        <f>IF(F13&gt;0, D13/F13, 0)</f>
        <v/>
      </c>
    </row>
    <row r="14">
      <c r="A14" s="6" t="inlineStr">
        <is>
          <t>Ma'had Qodim</t>
        </is>
      </c>
      <c r="B14" s="4" t="inlineStr">
        <is>
          <t>Lantai 2</t>
        </is>
      </c>
      <c r="C14" s="14" t="n">
        <v>40</v>
      </c>
      <c r="D14" s="14">
        <f>COUNTIFS(DATA_MASTER_CEKIN!$H$5:$H$100, "Ma'had Qodim", DATA_MASTER_CEKIN!$I$5:$I$100, 2, DATA_MASTER_CEKIN!$L$5:$L$100, "*Sudah*")</f>
        <v/>
      </c>
      <c r="E14" s="14">
        <f>COUNTIFS(DATA_MASTER_CEKIN!$H$5:$H$100, "Ma'had Qodim", DATA_MASTER_CEKIN!$I$5:$I$100, 2, DATA_MASTER_CEKIN!$L$5:$L$100, "*Belum*")</f>
        <v/>
      </c>
      <c r="F14" s="14">
        <f>D14+E14</f>
        <v/>
      </c>
      <c r="G14" s="15">
        <f>IF(F14&gt;0, D14/F14, 0)</f>
        <v/>
      </c>
    </row>
    <row r="15">
      <c r="A15" s="6" t="inlineStr">
        <is>
          <t>Ma'had Qodim</t>
        </is>
      </c>
      <c r="B15" s="4" t="inlineStr">
        <is>
          <t>Lantai 3</t>
        </is>
      </c>
      <c r="C15" s="14" t="n">
        <v>40</v>
      </c>
      <c r="D15" s="14">
        <f>COUNTIFS(DATA_MASTER_CEKIN!$H$5:$H$100, "Ma'had Qodim", DATA_MASTER_CEKIN!$I$5:$I$100, 3, DATA_MASTER_CEKIN!$L$5:$L$100, "*Sudah*")</f>
        <v/>
      </c>
      <c r="E15" s="14">
        <f>COUNTIFS(DATA_MASTER_CEKIN!$H$5:$H$100, "Ma'had Qodim", DATA_MASTER_CEKIN!$I$5:$I$100, 3, DATA_MASTER_CEKIN!$L$5:$L$100, "*Belum*")</f>
        <v/>
      </c>
      <c r="F15" s="14">
        <f>D15+E15</f>
        <v/>
      </c>
      <c r="G15" s="15">
        <f>IF(F15&gt;0, D15/F15, 0)</f>
        <v/>
      </c>
    </row>
    <row r="16">
      <c r="A16" s="6" t="inlineStr">
        <is>
          <t>Ma'had Qodim</t>
        </is>
      </c>
      <c r="B16" s="4" t="inlineStr">
        <is>
          <t>Lantai 4</t>
        </is>
      </c>
      <c r="C16" s="14" t="n">
        <v>40</v>
      </c>
      <c r="D16" s="14">
        <f>COUNTIFS(DATA_MASTER_CEKIN!$H$5:$H$100, "Ma'had Qodim", DATA_MASTER_CEKIN!$I$5:$I$100, 4, DATA_MASTER_CEKIN!$L$5:$L$100, "*Sudah*")</f>
        <v/>
      </c>
      <c r="E16" s="14">
        <f>COUNTIFS(DATA_MASTER_CEKIN!$H$5:$H$100, "Ma'had Qodim", DATA_MASTER_CEKIN!$I$5:$I$100, 4, DATA_MASTER_CEKIN!$L$5:$L$100, "*Belum*")</f>
        <v/>
      </c>
      <c r="F16" s="14">
        <f>D16+E16</f>
        <v/>
      </c>
      <c r="G16" s="15">
        <f>IF(F16&gt;0, D16/F16, 0)</f>
        <v/>
      </c>
    </row>
    <row r="17">
      <c r="A17" s="6" t="inlineStr">
        <is>
          <t>Ma'had Qodim</t>
        </is>
      </c>
      <c r="B17" s="4" t="inlineStr">
        <is>
          <t>Lantai 5</t>
        </is>
      </c>
      <c r="C17" s="14" t="n">
        <v>40</v>
      </c>
      <c r="D17" s="14">
        <f>COUNTIFS(DATA_MASTER_CEKIN!$H$5:$H$100, "Ma'had Qodim", DATA_MASTER_CEKIN!$I$5:$I$100, 5, DATA_MASTER_CEKIN!$L$5:$L$100, "*Sudah*")</f>
        <v/>
      </c>
      <c r="E17" s="14">
        <f>COUNTIFS(DATA_MASTER_CEKIN!$H$5:$H$100, "Ma'had Qodim", DATA_MASTER_CEKIN!$I$5:$I$100, 5, DATA_MASTER_CEKIN!$L$5:$L$100, "*Belum*")</f>
        <v/>
      </c>
      <c r="F17" s="14">
        <f>D17+E17</f>
        <v/>
      </c>
      <c r="G17" s="15">
        <f>IF(F17&gt;0, D17/F17, 0)</f>
        <v/>
      </c>
    </row>
    <row r="18">
      <c r="A18" s="16" t="inlineStr">
        <is>
          <t>GRAND TOTAL KESELURUHAN</t>
        </is>
      </c>
      <c r="B18" s="17" t="inlineStr">
        <is>
          <t>-</t>
        </is>
      </c>
      <c r="C18" s="18">
        <f>SUM(C10:C17)</f>
        <v/>
      </c>
      <c r="D18" s="18">
        <f>SUM(D10:D17)</f>
        <v/>
      </c>
      <c r="E18" s="18">
        <f>SUM(E10:E17)</f>
        <v/>
      </c>
      <c r="F18" s="18">
        <f>SUM(F10:F17)</f>
        <v/>
      </c>
      <c r="G18" s="19">
        <f>IF(F18&gt;0, D18/F18,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6" customWidth="1" min="3" max="3"/>
    <col width="26" customWidth="1" min="4" max="4"/>
    <col width="27" customWidth="1" min="5" max="5"/>
    <col width="26" customWidth="1" min="6" max="6"/>
    <col width="26" customWidth="1" min="7" max="7"/>
    <col width="58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BUKU INDUK &amp; DAFTAR ALOKASI PENGHUNI KAMAR ASRAMA</t>
        </is>
      </c>
    </row>
    <row r="2">
      <c r="A2" s="2" t="inlineStr">
        <is>
          <t>Daftar rincian penempatan ranjang santri per gedung, lantai, dan nomor kamar</t>
        </is>
      </c>
    </row>
    <row r="3"/>
    <row r="4">
      <c r="A4" s="20" t="inlineStr">
        <is>
          <t>Gedung</t>
        </is>
      </c>
      <c r="B4" s="20" t="inlineStr">
        <is>
          <t>Lantai</t>
        </is>
      </c>
      <c r="C4" s="20" t="inlineStr">
        <is>
          <t>Nomor Kamar</t>
        </is>
      </c>
      <c r="D4" s="20" t="inlineStr">
        <is>
          <t>Bed</t>
        </is>
      </c>
      <c r="E4" s="20" t="inlineStr">
        <is>
          <t>Nama Lengkap Mahasantri</t>
        </is>
      </c>
      <c r="F4" s="20" t="inlineStr">
        <is>
          <t>NIM / NISN</t>
        </is>
      </c>
      <c r="G4" s="20" t="inlineStr">
        <is>
          <t>Gender</t>
        </is>
      </c>
      <c r="H4" s="20" t="inlineStr">
        <is>
          <t>Fakultas &amp; Prodi</t>
        </is>
      </c>
      <c r="I4" s="20" t="inlineStr">
        <is>
          <t>Status Kehadiran</t>
        </is>
      </c>
      <c r="J4" s="20" t="inlineStr">
        <is>
          <t>Waktu Check-In</t>
        </is>
      </c>
      <c r="K4" s="20" t="inlineStr">
        <is>
          <t>Petugas</t>
        </is>
      </c>
    </row>
    <row r="5">
      <c r="A5" s="6">
        <f>DATA_MASTER_CEKIN!H5</f>
        <v/>
      </c>
      <c r="B5" s="4">
        <f>DATA_MASTER_CEKIN!I5</f>
        <v/>
      </c>
      <c r="C5" s="4">
        <f>DATA_MASTER_CEKIN!J5</f>
        <v/>
      </c>
      <c r="D5" s="4">
        <f>DATA_MASTER_CEKIN!K5</f>
        <v/>
      </c>
      <c r="E5" s="6">
        <f>DATA_MASTER_CEKIN!C5</f>
        <v/>
      </c>
      <c r="F5" s="4">
        <f>DATA_MASTER_CEKIN!B5</f>
        <v/>
      </c>
      <c r="G5" s="4">
        <f>DATA_MASTER_CEKIN!D5</f>
        <v/>
      </c>
      <c r="H5" s="6">
        <f>DATA_MASTER_CEKIN!F5 &amp; " - " &amp; DATA_MASTER_CEKIN!G5</f>
        <v/>
      </c>
      <c r="I5" s="4">
        <f>DATA_MASTER_CEKIN!L5</f>
        <v/>
      </c>
      <c r="J5" s="4">
        <f>DATA_MASTER_CEKIN!M5</f>
        <v/>
      </c>
      <c r="K5" s="6">
        <f>DATA_MASTER_CEKIN!N5</f>
        <v/>
      </c>
    </row>
    <row r="6">
      <c r="A6" s="6">
        <f>DATA_MASTER_CEKIN!H6</f>
        <v/>
      </c>
      <c r="B6" s="4">
        <f>DATA_MASTER_CEKIN!I6</f>
        <v/>
      </c>
      <c r="C6" s="4">
        <f>DATA_MASTER_CEKIN!J6</f>
        <v/>
      </c>
      <c r="D6" s="4">
        <f>DATA_MASTER_CEKIN!K6</f>
        <v/>
      </c>
      <c r="E6" s="6">
        <f>DATA_MASTER_CEKIN!C6</f>
        <v/>
      </c>
      <c r="F6" s="4">
        <f>DATA_MASTER_CEKIN!B6</f>
        <v/>
      </c>
      <c r="G6" s="4">
        <f>DATA_MASTER_CEKIN!D6</f>
        <v/>
      </c>
      <c r="H6" s="6">
        <f>DATA_MASTER_CEKIN!F6 &amp; " - " &amp; DATA_MASTER_CEKIN!G6</f>
        <v/>
      </c>
      <c r="I6" s="4">
        <f>DATA_MASTER_CEKIN!L6</f>
        <v/>
      </c>
      <c r="J6" s="4">
        <f>DATA_MASTER_CEKIN!M6</f>
        <v/>
      </c>
      <c r="K6" s="6">
        <f>DATA_MASTER_CEKIN!N6</f>
        <v/>
      </c>
    </row>
    <row r="7">
      <c r="A7" s="6">
        <f>DATA_MASTER_CEKIN!H7</f>
        <v/>
      </c>
      <c r="B7" s="4">
        <f>DATA_MASTER_CEKIN!I7</f>
        <v/>
      </c>
      <c r="C7" s="4">
        <f>DATA_MASTER_CEKIN!J7</f>
        <v/>
      </c>
      <c r="D7" s="4">
        <f>DATA_MASTER_CEKIN!K7</f>
        <v/>
      </c>
      <c r="E7" s="6">
        <f>DATA_MASTER_CEKIN!C7</f>
        <v/>
      </c>
      <c r="F7" s="4">
        <f>DATA_MASTER_CEKIN!B7</f>
        <v/>
      </c>
      <c r="G7" s="4">
        <f>DATA_MASTER_CEKIN!D7</f>
        <v/>
      </c>
      <c r="H7" s="6">
        <f>DATA_MASTER_CEKIN!F7 &amp; " - " &amp; DATA_MASTER_CEKIN!G7</f>
        <v/>
      </c>
      <c r="I7" s="4">
        <f>DATA_MASTER_CEKIN!L7</f>
        <v/>
      </c>
      <c r="J7" s="4">
        <f>DATA_MASTER_CEKIN!M7</f>
        <v/>
      </c>
      <c r="K7" s="6">
        <f>DATA_MASTER_CEKIN!N7</f>
        <v/>
      </c>
    </row>
    <row r="8">
      <c r="A8" s="6">
        <f>DATA_MASTER_CEKIN!H8</f>
        <v/>
      </c>
      <c r="B8" s="4">
        <f>DATA_MASTER_CEKIN!I8</f>
        <v/>
      </c>
      <c r="C8" s="4">
        <f>DATA_MASTER_CEKIN!J8</f>
        <v/>
      </c>
      <c r="D8" s="4">
        <f>DATA_MASTER_CEKIN!K8</f>
        <v/>
      </c>
      <c r="E8" s="6">
        <f>DATA_MASTER_CEKIN!C8</f>
        <v/>
      </c>
      <c r="F8" s="4">
        <f>DATA_MASTER_CEKIN!B8</f>
        <v/>
      </c>
      <c r="G8" s="4">
        <f>DATA_MASTER_CEKIN!D8</f>
        <v/>
      </c>
      <c r="H8" s="6">
        <f>DATA_MASTER_CEKIN!F8 &amp; " - " &amp; DATA_MASTER_CEKIN!G8</f>
        <v/>
      </c>
      <c r="I8" s="4">
        <f>DATA_MASTER_CEKIN!L8</f>
        <v/>
      </c>
      <c r="J8" s="4">
        <f>DATA_MASTER_CEKIN!M8</f>
        <v/>
      </c>
      <c r="K8" s="6">
        <f>DATA_MASTER_CEKIN!N8</f>
        <v/>
      </c>
    </row>
    <row r="9">
      <c r="A9" s="6">
        <f>DATA_MASTER_CEKIN!H9</f>
        <v/>
      </c>
      <c r="B9" s="4">
        <f>DATA_MASTER_CEKIN!I9</f>
        <v/>
      </c>
      <c r="C9" s="4">
        <f>DATA_MASTER_CEKIN!J9</f>
        <v/>
      </c>
      <c r="D9" s="4">
        <f>DATA_MASTER_CEKIN!K9</f>
        <v/>
      </c>
      <c r="E9" s="6">
        <f>DATA_MASTER_CEKIN!C9</f>
        <v/>
      </c>
      <c r="F9" s="4">
        <f>DATA_MASTER_CEKIN!B9</f>
        <v/>
      </c>
      <c r="G9" s="4">
        <f>DATA_MASTER_CEKIN!D9</f>
        <v/>
      </c>
      <c r="H9" s="6">
        <f>DATA_MASTER_CEKIN!F9 &amp; " - " &amp; DATA_MASTER_CEKIN!G9</f>
        <v/>
      </c>
      <c r="I9" s="4">
        <f>DATA_MASTER_CEKIN!L9</f>
        <v/>
      </c>
      <c r="J9" s="4">
        <f>DATA_MASTER_CEKIN!M9</f>
        <v/>
      </c>
      <c r="K9" s="6">
        <f>DATA_MASTER_CEKIN!N9</f>
        <v/>
      </c>
    </row>
    <row r="10">
      <c r="A10" s="6">
        <f>DATA_MASTER_CEKIN!H10</f>
        <v/>
      </c>
      <c r="B10" s="4">
        <f>DATA_MASTER_CEKIN!I10</f>
        <v/>
      </c>
      <c r="C10" s="4">
        <f>DATA_MASTER_CEKIN!J10</f>
        <v/>
      </c>
      <c r="D10" s="4">
        <f>DATA_MASTER_CEKIN!K10</f>
        <v/>
      </c>
      <c r="E10" s="6">
        <f>DATA_MASTER_CEKIN!C10</f>
        <v/>
      </c>
      <c r="F10" s="4">
        <f>DATA_MASTER_CEKIN!B10</f>
        <v/>
      </c>
      <c r="G10" s="4">
        <f>DATA_MASTER_CEKIN!D10</f>
        <v/>
      </c>
      <c r="H10" s="6">
        <f>DATA_MASTER_CEKIN!F10 &amp; " - " &amp; DATA_MASTER_CEKIN!G10</f>
        <v/>
      </c>
      <c r="I10" s="4">
        <f>DATA_MASTER_CEKIN!L10</f>
        <v/>
      </c>
      <c r="J10" s="4">
        <f>DATA_MASTER_CEKIN!M10</f>
        <v/>
      </c>
      <c r="K10" s="6">
        <f>DATA_MASTER_CEKIN!N10</f>
        <v/>
      </c>
    </row>
    <row r="11">
      <c r="A11" s="6">
        <f>DATA_MASTER_CEKIN!H11</f>
        <v/>
      </c>
      <c r="B11" s="4">
        <f>DATA_MASTER_CEKIN!I11</f>
        <v/>
      </c>
      <c r="C11" s="4">
        <f>DATA_MASTER_CEKIN!J11</f>
        <v/>
      </c>
      <c r="D11" s="4">
        <f>DATA_MASTER_CEKIN!K11</f>
        <v/>
      </c>
      <c r="E11" s="6">
        <f>DATA_MASTER_CEKIN!C11</f>
        <v/>
      </c>
      <c r="F11" s="4">
        <f>DATA_MASTER_CEKIN!B11</f>
        <v/>
      </c>
      <c r="G11" s="4">
        <f>DATA_MASTER_CEKIN!D11</f>
        <v/>
      </c>
      <c r="H11" s="6">
        <f>DATA_MASTER_CEKIN!F11 &amp; " - " &amp; DATA_MASTER_CEKIN!G11</f>
        <v/>
      </c>
      <c r="I11" s="4">
        <f>DATA_MASTER_CEKIN!L11</f>
        <v/>
      </c>
      <c r="J11" s="4">
        <f>DATA_MASTER_CEKIN!M11</f>
        <v/>
      </c>
      <c r="K11" s="6">
        <f>DATA_MASTER_CEKIN!N11</f>
        <v/>
      </c>
    </row>
    <row r="12">
      <c r="A12" s="6">
        <f>DATA_MASTER_CEKIN!H12</f>
        <v/>
      </c>
      <c r="B12" s="4">
        <f>DATA_MASTER_CEKIN!I12</f>
        <v/>
      </c>
      <c r="C12" s="4">
        <f>DATA_MASTER_CEKIN!J12</f>
        <v/>
      </c>
      <c r="D12" s="4">
        <f>DATA_MASTER_CEKIN!K12</f>
        <v/>
      </c>
      <c r="E12" s="6">
        <f>DATA_MASTER_CEKIN!C12</f>
        <v/>
      </c>
      <c r="F12" s="4">
        <f>DATA_MASTER_CEKIN!B12</f>
        <v/>
      </c>
      <c r="G12" s="4">
        <f>DATA_MASTER_CEKIN!D12</f>
        <v/>
      </c>
      <c r="H12" s="6">
        <f>DATA_MASTER_CEKIN!F12 &amp; " - " &amp; DATA_MASTER_CEKIN!G12</f>
        <v/>
      </c>
      <c r="I12" s="4">
        <f>DATA_MASTER_CEKIN!L12</f>
        <v/>
      </c>
      <c r="J12" s="4">
        <f>DATA_MASTER_CEKIN!M12</f>
        <v/>
      </c>
      <c r="K12" s="6">
        <f>DATA_MASTER_CEKIN!N12</f>
        <v/>
      </c>
    </row>
    <row r="13">
      <c r="A13" s="6">
        <f>DATA_MASTER_CEKIN!H13</f>
        <v/>
      </c>
      <c r="B13" s="4">
        <f>DATA_MASTER_CEKIN!I13</f>
        <v/>
      </c>
      <c r="C13" s="4">
        <f>DATA_MASTER_CEKIN!J13</f>
        <v/>
      </c>
      <c r="D13" s="4">
        <f>DATA_MASTER_CEKIN!K13</f>
        <v/>
      </c>
      <c r="E13" s="6">
        <f>DATA_MASTER_CEKIN!C13</f>
        <v/>
      </c>
      <c r="F13" s="4">
        <f>DATA_MASTER_CEKIN!B13</f>
        <v/>
      </c>
      <c r="G13" s="4">
        <f>DATA_MASTER_CEKIN!D13</f>
        <v/>
      </c>
      <c r="H13" s="6">
        <f>DATA_MASTER_CEKIN!F13 &amp; " - " &amp; DATA_MASTER_CEKIN!G13</f>
        <v/>
      </c>
      <c r="I13" s="4">
        <f>DATA_MASTER_CEKIN!L13</f>
        <v/>
      </c>
      <c r="J13" s="4">
        <f>DATA_MASTER_CEKIN!M13</f>
        <v/>
      </c>
      <c r="K13" s="6">
        <f>DATA_MASTER_CEKIN!N13</f>
        <v/>
      </c>
    </row>
    <row r="14">
      <c r="A14" s="6">
        <f>DATA_MASTER_CEKIN!H14</f>
        <v/>
      </c>
      <c r="B14" s="4">
        <f>DATA_MASTER_CEKIN!I14</f>
        <v/>
      </c>
      <c r="C14" s="4">
        <f>DATA_MASTER_CEKIN!J14</f>
        <v/>
      </c>
      <c r="D14" s="4">
        <f>DATA_MASTER_CEKIN!K14</f>
        <v/>
      </c>
      <c r="E14" s="6">
        <f>DATA_MASTER_CEKIN!C14</f>
        <v/>
      </c>
      <c r="F14" s="4">
        <f>DATA_MASTER_CEKIN!B14</f>
        <v/>
      </c>
      <c r="G14" s="4">
        <f>DATA_MASTER_CEKIN!D14</f>
        <v/>
      </c>
      <c r="H14" s="6">
        <f>DATA_MASTER_CEKIN!F14 &amp; " - " &amp; DATA_MASTER_CEKIN!G14</f>
        <v/>
      </c>
      <c r="I14" s="4">
        <f>DATA_MASTER_CEKIN!L14</f>
        <v/>
      </c>
      <c r="J14" s="4">
        <f>DATA_MASTER_CEKIN!M14</f>
        <v/>
      </c>
      <c r="K14" s="6">
        <f>DATA_MASTER_CEKIN!N14</f>
        <v/>
      </c>
    </row>
    <row r="15">
      <c r="A15" s="6">
        <f>DATA_MASTER_CEKIN!H15</f>
        <v/>
      </c>
      <c r="B15" s="4">
        <f>DATA_MASTER_CEKIN!I15</f>
        <v/>
      </c>
      <c r="C15" s="4">
        <f>DATA_MASTER_CEKIN!J15</f>
        <v/>
      </c>
      <c r="D15" s="4">
        <f>DATA_MASTER_CEKIN!K15</f>
        <v/>
      </c>
      <c r="E15" s="6">
        <f>DATA_MASTER_CEKIN!C15</f>
        <v/>
      </c>
      <c r="F15" s="4">
        <f>DATA_MASTER_CEKIN!B15</f>
        <v/>
      </c>
      <c r="G15" s="4">
        <f>DATA_MASTER_CEKIN!D15</f>
        <v/>
      </c>
      <c r="H15" s="6">
        <f>DATA_MASTER_CEKIN!F15 &amp; " - " &amp; DATA_MASTER_CEKIN!G15</f>
        <v/>
      </c>
      <c r="I15" s="4">
        <f>DATA_MASTER_CEKIN!L15</f>
        <v/>
      </c>
      <c r="J15" s="4">
        <f>DATA_MASTER_CEKIN!M15</f>
        <v/>
      </c>
      <c r="K15" s="6">
        <f>DATA_MASTER_CEKIN!N15</f>
        <v/>
      </c>
    </row>
    <row r="16">
      <c r="A16" s="6">
        <f>DATA_MASTER_CEKIN!H16</f>
        <v/>
      </c>
      <c r="B16" s="4">
        <f>DATA_MASTER_CEKIN!I16</f>
        <v/>
      </c>
      <c r="C16" s="4">
        <f>DATA_MASTER_CEKIN!J16</f>
        <v/>
      </c>
      <c r="D16" s="4">
        <f>DATA_MASTER_CEKIN!K16</f>
        <v/>
      </c>
      <c r="E16" s="6">
        <f>DATA_MASTER_CEKIN!C16</f>
        <v/>
      </c>
      <c r="F16" s="4">
        <f>DATA_MASTER_CEKIN!B16</f>
        <v/>
      </c>
      <c r="G16" s="4">
        <f>DATA_MASTER_CEKIN!D16</f>
        <v/>
      </c>
      <c r="H16" s="6">
        <f>DATA_MASTER_CEKIN!F16 &amp; " - " &amp; DATA_MASTER_CEKIN!G16</f>
        <v/>
      </c>
      <c r="I16" s="4">
        <f>DATA_MASTER_CEKIN!L16</f>
        <v/>
      </c>
      <c r="J16" s="4">
        <f>DATA_MASTER_CEKIN!M16</f>
        <v/>
      </c>
      <c r="K16" s="6">
        <f>DATA_MASTER_CEKIN!N16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30" customWidth="1" min="2" max="2"/>
    <col width="116" customWidth="1" min="3" max="3"/>
    <col width="116" customWidth="1" min="4" max="4"/>
    <col width="16" customWidth="1" min="5" max="5"/>
    <col width="30" customWidth="1" min="6" max="6"/>
  </cols>
  <sheetData>
    <row r="1">
      <c r="A1" s="1" t="inlineStr">
        <is>
          <t>STATISTIK PERSEBARAN MAHASANTRI PER FAKULTAS &amp; GENDER</t>
        </is>
      </c>
    </row>
    <row r="2">
      <c r="A2" s="2" t="inlineStr">
        <is>
          <t>Demografi pendaftar asrama Ma'had Al-Jami'ah berdasarkan Fakultas dan Jenis Kelamin</t>
        </is>
      </c>
    </row>
    <row r="3"/>
    <row r="4">
      <c r="A4" s="3" t="inlineStr">
        <is>
          <t>Fakultas</t>
        </is>
      </c>
      <c r="B4" s="3" t="inlineStr">
        <is>
          <t>Jurusan / Program Studi</t>
        </is>
      </c>
      <c r="C4" s="3" t="inlineStr">
        <is>
          <t>Laki-laki (Putra)</t>
        </is>
      </c>
      <c r="D4" s="3" t="inlineStr">
        <is>
          <t>Perempuan (Putri)</t>
        </is>
      </c>
      <c r="E4" s="3" t="inlineStr">
        <is>
          <t>Total Santri</t>
        </is>
      </c>
      <c r="F4" s="3" t="inlineStr">
        <is>
          <t>Persentase Kontribusi</t>
        </is>
      </c>
    </row>
    <row r="5">
      <c r="A5" s="4" t="inlineStr">
        <is>
          <t>FITK</t>
        </is>
      </c>
      <c r="B5" s="6" t="inlineStr">
        <is>
          <t>Pendidikan Agama Islam</t>
        </is>
      </c>
      <c r="C5" s="14">
        <f>COUNTIFS(DATA_MASTER_CEKIN!$G$5:$G$100, "Pendidikan Agama Islam", DATA_MASTER_CEKIN!$D$5:$D$100, "*Putra*")</f>
        <v/>
      </c>
      <c r="D5" s="14">
        <f>COUNTIFS(DATA_MASTER_CEKIN!$G$5:$G$100, "Pendidikan Agama Islam", DATA_MASTER_CEKIN!$D$5:$D$100, "*Putri*")</f>
        <v/>
      </c>
      <c r="E5" s="14">
        <f>C5+D5</f>
        <v/>
      </c>
      <c r="F5" s="15">
        <f>IF($E$17&gt;0, E5/$E$17, 0)</f>
        <v/>
      </c>
    </row>
    <row r="6">
      <c r="A6" s="4" t="inlineStr">
        <is>
          <t>FITK</t>
        </is>
      </c>
      <c r="B6" s="6" t="inlineStr">
        <is>
          <t>Pendidikan Bahasa Arab</t>
        </is>
      </c>
      <c r="C6" s="14">
        <f>COUNTIFS(DATA_MASTER_CEKIN!$G$5:$G$100, "Pendidikan Bahasa Arab", DATA_MASTER_CEKIN!$D$5:$D$100, "*Putra*")</f>
        <v/>
      </c>
      <c r="D6" s="14">
        <f>COUNTIFS(DATA_MASTER_CEKIN!$G$5:$G$100, "Pendidikan Bahasa Arab", DATA_MASTER_CEKIN!$D$5:$D$100, "*Putri*")</f>
        <v/>
      </c>
      <c r="E6" s="14">
        <f>C6+D6</f>
        <v/>
      </c>
      <c r="F6" s="15">
        <f>IF($E$17&gt;0, E6/$E$17, 0)</f>
        <v/>
      </c>
    </row>
    <row r="7">
      <c r="A7" s="4" t="inlineStr">
        <is>
          <t>FITK</t>
        </is>
      </c>
      <c r="B7" s="6" t="inlineStr">
        <is>
          <t>Tadris IPS</t>
        </is>
      </c>
      <c r="C7" s="14">
        <f>COUNTIFS(DATA_MASTER_CEKIN!$G$5:$G$100, "Tadris IPS", DATA_MASTER_CEKIN!$D$5:$D$100, "*Putra*")</f>
        <v/>
      </c>
      <c r="D7" s="14">
        <f>COUNTIFS(DATA_MASTER_CEKIN!$G$5:$G$100, "Tadris IPS", DATA_MASTER_CEKIN!$D$5:$D$100, "*Putri*")</f>
        <v/>
      </c>
      <c r="E7" s="14">
        <f>C7+D7</f>
        <v/>
      </c>
      <c r="F7" s="15">
        <f>IF($E$17&gt;0, E7/$E$17, 0)</f>
        <v/>
      </c>
    </row>
    <row r="8">
      <c r="A8" s="4" t="inlineStr">
        <is>
          <t>FITK</t>
        </is>
      </c>
      <c r="B8" s="6" t="inlineStr">
        <is>
          <t>Tadris Matematika</t>
        </is>
      </c>
      <c r="C8" s="14">
        <f>COUNTIFS(DATA_MASTER_CEKIN!$G$5:$G$100, "Tadris Matematika", DATA_MASTER_CEKIN!$D$5:$D$100, "*Putra*")</f>
        <v/>
      </c>
      <c r="D8" s="14">
        <f>COUNTIFS(DATA_MASTER_CEKIN!$G$5:$G$100, "Tadris Matematika", DATA_MASTER_CEKIN!$D$5:$D$100, "*Putri*")</f>
        <v/>
      </c>
      <c r="E8" s="14">
        <f>C8+D8</f>
        <v/>
      </c>
      <c r="F8" s="15">
        <f>IF($E$17&gt;0, E8/$E$17, 0)</f>
        <v/>
      </c>
    </row>
    <row r="9">
      <c r="A9" s="4" t="inlineStr">
        <is>
          <t>FASYA</t>
        </is>
      </c>
      <c r="B9" s="6" t="inlineStr">
        <is>
          <t>Hukum Keluarga Islam</t>
        </is>
      </c>
      <c r="C9" s="14">
        <f>COUNTIFS(DATA_MASTER_CEKIN!$G$5:$G$100, "Hukum Keluarga Islam", DATA_MASTER_CEKIN!$D$5:$D$100, "*Putra*")</f>
        <v/>
      </c>
      <c r="D9" s="14">
        <f>COUNTIFS(DATA_MASTER_CEKIN!$G$5:$G$100, "Hukum Keluarga Islam", DATA_MASTER_CEKIN!$D$5:$D$100, "*Putri*")</f>
        <v/>
      </c>
      <c r="E9" s="14">
        <f>C9+D9</f>
        <v/>
      </c>
      <c r="F9" s="15">
        <f>IF($E$17&gt;0, E9/$E$17, 0)</f>
        <v/>
      </c>
    </row>
    <row r="10">
      <c r="A10" s="4" t="inlineStr">
        <is>
          <t>FASYA</t>
        </is>
      </c>
      <c r="B10" s="6" t="inlineStr">
        <is>
          <t>Hukum Ekonomi Syariah</t>
        </is>
      </c>
      <c r="C10" s="14">
        <f>COUNTIFS(DATA_MASTER_CEKIN!$G$5:$G$100, "Hukum Ekonomi Syariah", DATA_MASTER_CEKIN!$D$5:$D$100, "*Putra*")</f>
        <v/>
      </c>
      <c r="D10" s="14">
        <f>COUNTIFS(DATA_MASTER_CEKIN!$G$5:$G$100, "Hukum Ekonomi Syariah", DATA_MASTER_CEKIN!$D$5:$D$100, "*Putri*")</f>
        <v/>
      </c>
      <c r="E10" s="14">
        <f>C10+D10</f>
        <v/>
      </c>
      <c r="F10" s="15">
        <f>IF($E$17&gt;0, E10/$E$17, 0)</f>
        <v/>
      </c>
    </row>
    <row r="11">
      <c r="A11" s="4" t="inlineStr">
        <is>
          <t>FASYA</t>
        </is>
      </c>
      <c r="B11" s="6" t="inlineStr">
        <is>
          <t>Ilmu Falak</t>
        </is>
      </c>
      <c r="C11" s="14">
        <f>COUNTIFS(DATA_MASTER_CEKIN!$G$5:$G$100, "Ilmu Falak", DATA_MASTER_CEKIN!$D$5:$D$100, "*Putra*")</f>
        <v/>
      </c>
      <c r="D11" s="14">
        <f>COUNTIFS(DATA_MASTER_CEKIN!$G$5:$G$100, "Ilmu Falak", DATA_MASTER_CEKIN!$D$5:$D$100, "*Putri*")</f>
        <v/>
      </c>
      <c r="E11" s="14">
        <f>C11+D11</f>
        <v/>
      </c>
      <c r="F11" s="15">
        <f>IF($E$17&gt;0, E11/$E$17, 0)</f>
        <v/>
      </c>
    </row>
    <row r="12">
      <c r="A12" s="4" t="inlineStr">
        <is>
          <t>FUSA</t>
        </is>
      </c>
      <c r="B12" s="6" t="inlineStr">
        <is>
          <t>Ilmu Al-Qur'an dan Tafsir</t>
        </is>
      </c>
      <c r="C12" s="14">
        <f>COUNTIFS(DATA_MASTER_CEKIN!$G$5:$G$100, "Ilmu Al-Qur'an dan Tafsir", DATA_MASTER_CEKIN!$D$5:$D$100, "*Putra*")</f>
        <v/>
      </c>
      <c r="D12" s="14">
        <f>COUNTIFS(DATA_MASTER_CEKIN!$G$5:$G$100, "Ilmu Al-Qur'an dan Tafsir", DATA_MASTER_CEKIN!$D$5:$D$100, "*Putri*")</f>
        <v/>
      </c>
      <c r="E12" s="14">
        <f>C12+D12</f>
        <v/>
      </c>
      <c r="F12" s="15">
        <f>IF($E$17&gt;0, E12/$E$17, 0)</f>
        <v/>
      </c>
    </row>
    <row r="13">
      <c r="A13" s="4" t="inlineStr">
        <is>
          <t>FDK</t>
        </is>
      </c>
      <c r="B13" s="6" t="inlineStr">
        <is>
          <t>Komunikasi Penyiaran Islam</t>
        </is>
      </c>
      <c r="C13" s="14">
        <f>COUNTIFS(DATA_MASTER_CEKIN!$G$5:$G$100, "Komunikasi Penyiaran Islam", DATA_MASTER_CEKIN!$D$5:$D$100, "*Putra*")</f>
        <v/>
      </c>
      <c r="D13" s="14">
        <f>COUNTIFS(DATA_MASTER_CEKIN!$G$5:$G$100, "Komunikasi Penyiaran Islam", DATA_MASTER_CEKIN!$D$5:$D$100, "*Putri*")</f>
        <v/>
      </c>
      <c r="E13" s="14">
        <f>C13+D13</f>
        <v/>
      </c>
      <c r="F13" s="15">
        <f>IF($E$17&gt;0, E13/$E$17, 0)</f>
        <v/>
      </c>
    </row>
    <row r="14">
      <c r="A14" s="4" t="inlineStr">
        <is>
          <t>FDK</t>
        </is>
      </c>
      <c r="B14" s="6" t="inlineStr">
        <is>
          <t>Bimbingan Konseling Islam</t>
        </is>
      </c>
      <c r="C14" s="14">
        <f>COUNTIFS(DATA_MASTER_CEKIN!$G$5:$G$100, "Bimbingan Konseling Islam", DATA_MASTER_CEKIN!$D$5:$D$100, "*Putra*")</f>
        <v/>
      </c>
      <c r="D14" s="14">
        <f>COUNTIFS(DATA_MASTER_CEKIN!$G$5:$G$100, "Bimbingan Konseling Islam", DATA_MASTER_CEKIN!$D$5:$D$100, "*Putri*")</f>
        <v/>
      </c>
      <c r="E14" s="14">
        <f>C14+D14</f>
        <v/>
      </c>
      <c r="F14" s="15">
        <f>IF($E$17&gt;0, E14/$E$17, 0)</f>
        <v/>
      </c>
    </row>
    <row r="15">
      <c r="A15" s="4" t="inlineStr">
        <is>
          <t>FEBI</t>
        </is>
      </c>
      <c r="B15" s="6" t="inlineStr">
        <is>
          <t>Perbankan Syariah</t>
        </is>
      </c>
      <c r="C15" s="14">
        <f>COUNTIFS(DATA_MASTER_CEKIN!$G$5:$G$100, "Perbankan Syariah", DATA_MASTER_CEKIN!$D$5:$D$100, "*Putra*")</f>
        <v/>
      </c>
      <c r="D15" s="14">
        <f>COUNTIFS(DATA_MASTER_CEKIN!$G$5:$G$100, "Perbankan Syariah", DATA_MASTER_CEKIN!$D$5:$D$100, "*Putri*")</f>
        <v/>
      </c>
      <c r="E15" s="14">
        <f>C15+D15</f>
        <v/>
      </c>
      <c r="F15" s="15">
        <f>IF($E$17&gt;0, E15/$E$17, 0)</f>
        <v/>
      </c>
    </row>
    <row r="16">
      <c r="A16" s="4" t="inlineStr">
        <is>
          <t>FEBI</t>
        </is>
      </c>
      <c r="B16" s="6" t="inlineStr">
        <is>
          <t>Akuntansi Syariah</t>
        </is>
      </c>
      <c r="C16" s="14">
        <f>COUNTIFS(DATA_MASTER_CEKIN!$G$5:$G$100, "Akuntansi Syariah", DATA_MASTER_CEKIN!$D$5:$D$100, "*Putra*")</f>
        <v/>
      </c>
      <c r="D16" s="14">
        <f>COUNTIFS(DATA_MASTER_CEKIN!$G$5:$G$100, "Akuntansi Syariah", DATA_MASTER_CEKIN!$D$5:$D$100, "*Putri*")</f>
        <v/>
      </c>
      <c r="E16" s="14">
        <f>C16+D16</f>
        <v/>
      </c>
      <c r="F16" s="15">
        <f>IF($E$17&gt;0, E16/$E$17, 0)</f>
        <v/>
      </c>
    </row>
    <row r="17">
      <c r="A17" s="17" t="inlineStr">
        <is>
          <t>TOTAL KESELURUHAN</t>
        </is>
      </c>
      <c r="B17" s="16" t="inlineStr">
        <is>
          <t>12 Program Studi</t>
        </is>
      </c>
      <c r="C17" s="18">
        <f>SUM(C5:C16)</f>
        <v/>
      </c>
      <c r="D17" s="18">
        <f>SUM(D5:D16)</f>
        <v/>
      </c>
      <c r="E17" s="18">
        <f>SUM(E5:E16)</f>
        <v/>
      </c>
      <c r="F17" s="19">
        <f>SUM(F5:F16)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2026-08-30T03:42:50Z</dcterms:created>
  <dcterms:modified xmlns:dcterms="http://purl.org/dc/terms/" xmlns:xsi="http://www.w3.org/2001/XMLSchema-instance" xsi:type="dcterms:W3CDTF">2026-08-30T03:42:50Z</dcterms:modified>
</cp:coreProperties>
</file>